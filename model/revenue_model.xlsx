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0000FF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4" fontId="3" fillId="2" borderId="0" applyAlignment="1" pivotButton="0" quotePrefix="0" xfId="0">
      <alignment horizont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8" customWidth="1" min="7" max="7"/>
  </cols>
  <sheetData>
    <row r="1">
      <c r="A1" s="1" t="inlineStr">
        <is>
          <t>Data monetization: illustrative 3-year revenue model (ALL INPUTS ARE ASSUMPTIONS, blue = editable)</t>
        </is>
      </c>
    </row>
    <row r="3">
      <c r="A3" t="inlineStr">
        <is>
          <t>Scenario (1=Low, 2=Base, 3=High)</t>
        </is>
      </c>
      <c r="B3" s="2" t="n">
        <v>2</v>
      </c>
    </row>
    <row r="4">
      <c r="A4" t="inlineStr">
        <is>
          <t>Customer multiplier</t>
        </is>
      </c>
      <c r="B4">
        <f>CHOOSE(B3,0.6,1,1.4)</f>
        <v/>
      </c>
    </row>
    <row r="5">
      <c r="A5" t="inlineStr">
        <is>
          <t>Annual price uplift after Y1</t>
        </is>
      </c>
      <c r="B5" s="3" t="n">
        <v>0.05</v>
      </c>
    </row>
    <row r="7">
      <c r="A7" s="4" t="inlineStr">
        <is>
          <t>Stream</t>
        </is>
      </c>
      <c r="B7" s="4" t="inlineStr">
        <is>
          <t>Customers Y1</t>
        </is>
      </c>
      <c r="C7" s="4" t="inlineStr">
        <is>
          <t>Customers Y2</t>
        </is>
      </c>
      <c r="D7" s="4" t="inlineStr">
        <is>
          <t>Customers Y3</t>
        </is>
      </c>
      <c r="E7" s="4" t="inlineStr">
        <is>
          <t>ARPA Y1 (USD/yr)</t>
        </is>
      </c>
      <c r="F7" s="4" t="inlineStr">
        <is>
          <t>Gross margin</t>
        </is>
      </c>
      <c r="G7" s="4" t="inlineStr">
        <is>
          <t>Pricing logic</t>
        </is>
      </c>
    </row>
    <row r="8">
      <c r="A8" t="inlineStr">
        <is>
          <t>Insights reports (subscription)</t>
        </is>
      </c>
      <c r="B8" s="2" t="n">
        <v>8</v>
      </c>
      <c r="C8" s="2" t="n">
        <v>20</v>
      </c>
      <c r="D8" s="2" t="n">
        <v>40</v>
      </c>
      <c r="E8" s="5" t="n">
        <v>6000</v>
      </c>
      <c r="F8" s="3" t="n">
        <v>0.85</v>
      </c>
      <c r="G8" t="inlineStr">
        <is>
          <t>Annual subscription by category bundle</t>
        </is>
      </c>
    </row>
    <row r="9">
      <c r="A9" t="inlineStr">
        <is>
          <t>Data API (tiered)</t>
        </is>
      </c>
      <c r="B9" s="2" t="n">
        <v>5</v>
      </c>
      <c r="C9" s="2" t="n">
        <v>15</v>
      </c>
      <c r="D9" s="2" t="n">
        <v>35</v>
      </c>
      <c r="E9" s="5" t="n">
        <v>12000</v>
      </c>
      <c r="F9" s="3" t="n">
        <v>0.8</v>
      </c>
      <c r="G9" t="inlineStr">
        <is>
          <t>Tiered by calls + history depth</t>
        </is>
      </c>
    </row>
    <row r="10">
      <c r="A10" t="inlineStr">
        <is>
          <t>Audience segments (activation)</t>
        </is>
      </c>
      <c r="B10" s="2" t="n">
        <v>4</v>
      </c>
      <c r="C10" s="2" t="n">
        <v>10</v>
      </c>
      <c r="D10" s="2" t="n">
        <v>18</v>
      </c>
      <c r="E10" s="5" t="n">
        <v>30000</v>
      </c>
      <c r="F10" s="3" t="n">
        <v>0.6</v>
      </c>
      <c r="G10" t="inlineStr">
        <is>
          <t>CPM-style / rev share with activation partner</t>
        </is>
      </c>
    </row>
    <row r="11">
      <c r="A11" t="inlineStr">
        <is>
          <t>Data licensing / partnerships</t>
        </is>
      </c>
      <c r="B11" s="2" t="n">
        <v>1</v>
      </c>
      <c r="C11" s="2" t="n">
        <v>3</v>
      </c>
      <c r="D11" s="2" t="n">
        <v>5</v>
      </c>
      <c r="E11" s="5" t="n">
        <v>80000</v>
      </c>
      <c r="F11" s="3" t="n">
        <v>0.85</v>
      </c>
      <c r="G11" t="inlineStr">
        <is>
          <t>Annual contract, aggregated datasets only</t>
        </is>
      </c>
    </row>
    <row r="13">
      <c r="A13" s="6" t="inlineStr">
        <is>
          <t>Team and run cost (USD/yr)</t>
        </is>
      </c>
    </row>
    <row r="14">
      <c r="A14" s="4" t="inlineStr">
        <is>
          <t>Item</t>
        </is>
      </c>
      <c r="B14" s="4" t="inlineStr">
        <is>
          <t>Y1</t>
        </is>
      </c>
      <c r="C14" s="4" t="inlineStr">
        <is>
          <t>Y2</t>
        </is>
      </c>
      <c r="D14" s="4" t="inlineStr">
        <is>
          <t>Y3</t>
        </is>
      </c>
    </row>
    <row r="15">
      <c r="A15" t="inlineStr">
        <is>
          <t>Product, data science, engineering (FTE-equivalent)</t>
        </is>
      </c>
      <c r="B15" s="5" t="n">
        <v>420000</v>
      </c>
      <c r="C15" s="5" t="n">
        <v>520000</v>
      </c>
      <c r="D15" s="5" t="n">
        <v>600000</v>
      </c>
    </row>
    <row r="16">
      <c r="A16" t="inlineStr">
        <is>
          <t>Legal, security, compliance</t>
        </is>
      </c>
      <c r="B16" s="5" t="n">
        <v>60000</v>
      </c>
      <c r="C16" s="5" t="n">
        <v>70000</v>
      </c>
      <c r="D16" s="5" t="n">
        <v>80000</v>
      </c>
    </row>
    <row r="17">
      <c r="A17" t="inlineStr">
        <is>
          <t>GTM and partnerships</t>
        </is>
      </c>
      <c r="B17" s="5" t="n">
        <v>80000</v>
      </c>
      <c r="C17" s="5" t="n">
        <v>120000</v>
      </c>
      <c r="D17" s="5" t="n">
        <v>160000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Revenue, gross profit and payback (USD)</t>
        </is>
      </c>
    </row>
    <row r="3">
      <c r="A3" s="4" t="inlineStr">
        <is>
          <t>Revenue</t>
        </is>
      </c>
      <c r="B3" s="4" t="inlineStr">
        <is>
          <t>Y1</t>
        </is>
      </c>
      <c r="C3" s="4" t="inlineStr">
        <is>
          <t>Y2</t>
        </is>
      </c>
      <c r="D3" s="4" t="inlineStr">
        <is>
          <t>Y3</t>
        </is>
      </c>
    </row>
    <row r="4">
      <c r="A4">
        <f>Assumptions!A8</f>
        <v/>
      </c>
      <c r="B4" s="7">
        <f>Assumptions!B8*Assumptions!$B$4*Assumptions!E8</f>
        <v/>
      </c>
      <c r="C4" s="7">
        <f>Assumptions!C8*Assumptions!$B$4*Assumptions!E8*(1+Assumptions!$B$5)</f>
        <v/>
      </c>
      <c r="D4" s="7">
        <f>Assumptions!D8*Assumptions!$B$4*Assumptions!E8*(1+Assumptions!$B$5)^2</f>
        <v/>
      </c>
    </row>
    <row r="5">
      <c r="A5">
        <f>Assumptions!A9</f>
        <v/>
      </c>
      <c r="B5" s="7">
        <f>Assumptions!B9*Assumptions!$B$4*Assumptions!E9</f>
        <v/>
      </c>
      <c r="C5" s="7">
        <f>Assumptions!C9*Assumptions!$B$4*Assumptions!E9*(1+Assumptions!$B$5)</f>
        <v/>
      </c>
      <c r="D5" s="7">
        <f>Assumptions!D9*Assumptions!$B$4*Assumptions!E9*(1+Assumptions!$B$5)^2</f>
        <v/>
      </c>
    </row>
    <row r="6">
      <c r="A6">
        <f>Assumptions!A10</f>
        <v/>
      </c>
      <c r="B6" s="7">
        <f>Assumptions!B10*Assumptions!$B$4*Assumptions!E10</f>
        <v/>
      </c>
      <c r="C6" s="7">
        <f>Assumptions!C10*Assumptions!$B$4*Assumptions!E10*(1+Assumptions!$B$5)</f>
        <v/>
      </c>
      <c r="D6" s="7">
        <f>Assumptions!D10*Assumptions!$B$4*Assumptions!E10*(1+Assumptions!$B$5)^2</f>
        <v/>
      </c>
    </row>
    <row r="7">
      <c r="A7">
        <f>Assumptions!A11</f>
        <v/>
      </c>
      <c r="B7" s="7">
        <f>Assumptions!B11*Assumptions!$B$4*Assumptions!E11</f>
        <v/>
      </c>
      <c r="C7" s="7">
        <f>Assumptions!C11*Assumptions!$B$4*Assumptions!E11*(1+Assumptions!$B$5)</f>
        <v/>
      </c>
      <c r="D7" s="7">
        <f>Assumptions!D11*Assumptions!$B$4*Assumptions!E11*(1+Assumptions!$B$5)^2</f>
        <v/>
      </c>
    </row>
    <row r="8">
      <c r="A8" s="6" t="inlineStr">
        <is>
          <t>Total revenue</t>
        </is>
      </c>
      <c r="B8" s="8">
        <f>SUM(B4:B7)</f>
        <v/>
      </c>
      <c r="C8" s="8">
        <f>SUM(C4:C7)</f>
        <v/>
      </c>
      <c r="D8" s="8">
        <f>SUM(D4:D7)</f>
        <v/>
      </c>
    </row>
    <row r="9">
      <c r="B9" s="7" t="n"/>
      <c r="C9" s="7" t="n"/>
      <c r="D9" s="7" t="n"/>
    </row>
    <row r="10">
      <c r="A10" s="4" t="inlineStr">
        <is>
          <t>Gross profit</t>
        </is>
      </c>
      <c r="B10" s="9" t="inlineStr">
        <is>
          <t>Y1</t>
        </is>
      </c>
      <c r="C10" s="9" t="inlineStr">
        <is>
          <t>Y2</t>
        </is>
      </c>
      <c r="D10" s="9" t="inlineStr">
        <is>
          <t>Y3</t>
        </is>
      </c>
    </row>
    <row r="11">
      <c r="A11">
        <f>Assumptions!A8</f>
        <v/>
      </c>
      <c r="B11" s="7">
        <f>B4*Assumptions!$F$8</f>
        <v/>
      </c>
      <c r="C11" s="7">
        <f>C4*Assumptions!$F$8</f>
        <v/>
      </c>
      <c r="D11" s="7">
        <f>D4*Assumptions!$F$8</f>
        <v/>
      </c>
    </row>
    <row r="12">
      <c r="A12">
        <f>Assumptions!A9</f>
        <v/>
      </c>
      <c r="B12" s="7">
        <f>B5*Assumptions!$F$9</f>
        <v/>
      </c>
      <c r="C12" s="7">
        <f>C5*Assumptions!$F$9</f>
        <v/>
      </c>
      <c r="D12" s="7">
        <f>D5*Assumptions!$F$9</f>
        <v/>
      </c>
    </row>
    <row r="13">
      <c r="A13">
        <f>Assumptions!A10</f>
        <v/>
      </c>
      <c r="B13" s="7">
        <f>B6*Assumptions!$F$10</f>
        <v/>
      </c>
      <c r="C13" s="7">
        <f>C6*Assumptions!$F$10</f>
        <v/>
      </c>
      <c r="D13" s="7">
        <f>D6*Assumptions!$F$10</f>
        <v/>
      </c>
    </row>
    <row r="14">
      <c r="A14">
        <f>Assumptions!A11</f>
        <v/>
      </c>
      <c r="B14" s="7">
        <f>B7*Assumptions!$F$11</f>
        <v/>
      </c>
      <c r="C14" s="7">
        <f>C7*Assumptions!$F$11</f>
        <v/>
      </c>
      <c r="D14" s="7">
        <f>D7*Assumptions!$F$11</f>
        <v/>
      </c>
    </row>
    <row r="15">
      <c r="A15" s="6" t="inlineStr">
        <is>
          <t>Total gross profit</t>
        </is>
      </c>
      <c r="B15" s="8">
        <f>SUM(B11:B14)</f>
        <v/>
      </c>
      <c r="C15" s="8">
        <f>SUM(C11:C14)</f>
        <v/>
      </c>
      <c r="D15" s="8">
        <f>SUM(D11:D14)</f>
        <v/>
      </c>
    </row>
    <row r="16">
      <c r="B16" s="7" t="n"/>
      <c r="C16" s="7" t="n"/>
      <c r="D16" s="7" t="n"/>
    </row>
    <row r="17">
      <c r="A17" t="inlineStr">
        <is>
          <t>Total team and run cost</t>
        </is>
      </c>
      <c r="B17" s="7">
        <f>SUM(Assumptions!B15:B17)</f>
        <v/>
      </c>
      <c r="C17" s="7">
        <f>SUM(Assumptions!C15:C17)</f>
        <v/>
      </c>
      <c r="D17" s="7">
        <f>SUM(Assumptions!D15:D17)</f>
        <v/>
      </c>
    </row>
    <row r="18">
      <c r="A18" s="6" t="inlineStr">
        <is>
          <t>Operating contribution</t>
        </is>
      </c>
      <c r="B18" s="8">
        <f>B15-B17</f>
        <v/>
      </c>
      <c r="C18" s="8">
        <f>C15-C17</f>
        <v/>
      </c>
      <c r="D18" s="8">
        <f>D15-D17</f>
        <v/>
      </c>
    </row>
    <row r="19">
      <c r="A19" t="inlineStr">
        <is>
          <t>Cumulative contribution</t>
        </is>
      </c>
      <c r="B19" s="7">
        <f>B18</f>
        <v/>
      </c>
      <c r="C19" s="7">
        <f>B19+C18</f>
        <v/>
      </c>
      <c r="D19" s="7">
        <f>C19+D18</f>
        <v/>
      </c>
    </row>
    <row r="21">
      <c r="A21" t="inlineStr">
        <is>
          <t>Revenue mix Y3: top stream share</t>
        </is>
      </c>
      <c r="B21" s="10">
        <f>MAX(D4:D7)/D8</f>
        <v/>
      </c>
    </row>
    <row r="22">
      <c r="A22" t="inlineStr">
        <is>
          <t>Break-even year (cumulative &gt;= 0)</t>
        </is>
      </c>
      <c r="B22">
        <f>IF(B19&gt;=0,"Y1",IF(C19&gt;=0,"Y2",IF(D19&gt;=0,"Y3","After Y3")))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Scenario comparison (static values of the Model for each multiplier, computed with formulas)</t>
        </is>
      </c>
    </row>
    <row r="3">
      <c r="A3" s="4" t="inlineStr">
        <is>
          <t>Scenario</t>
        </is>
      </c>
      <c r="B3" s="4" t="inlineStr">
        <is>
          <t>Multiplier</t>
        </is>
      </c>
      <c r="C3" s="4" t="inlineStr">
        <is>
          <t>Y3 revenue</t>
        </is>
      </c>
      <c r="D3" s="4" t="inlineStr">
        <is>
          <t>Y3 contribution</t>
        </is>
      </c>
    </row>
    <row r="4">
      <c r="A4" t="inlineStr">
        <is>
          <t>Low</t>
        </is>
      </c>
      <c r="B4" t="n">
        <v>0.6</v>
      </c>
      <c r="C4" s="7">
        <f>Model!D8/Assumptions!$B$4*B4</f>
        <v/>
      </c>
      <c r="D4" s="7">
        <f>Model!D15/Assumptions!$B$4*B4-Model!D17</f>
        <v/>
      </c>
    </row>
    <row r="5">
      <c r="A5" t="inlineStr">
        <is>
          <t>Base</t>
        </is>
      </c>
      <c r="B5" t="n">
        <v>1</v>
      </c>
      <c r="C5" s="7">
        <f>Model!D8/Assumptions!$B$4*B5</f>
        <v/>
      </c>
      <c r="D5" s="7">
        <f>Model!D15/Assumptions!$B$4*B5-Model!D17</f>
        <v/>
      </c>
    </row>
    <row r="6">
      <c r="A6" t="inlineStr">
        <is>
          <t>High</t>
        </is>
      </c>
      <c r="B6" t="n">
        <v>1.4</v>
      </c>
      <c r="C6" s="7">
        <f>Model!D8/Assumptions!$B$4*B6</f>
        <v/>
      </c>
      <c r="D6" s="7">
        <f>Model!D15/Assumptions!$B$4*B6-Model!D17</f>
        <v/>
      </c>
    </row>
    <row r="8">
      <c r="A8" t="inlineStr">
        <is>
          <t>Note: contribution scales with the multiplier because costs are held fixed; that is the point of the exercise (operating leverage).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2026-10-09T06:49:47Z</dcterms:created>
  <dcterms:modified xmlns:dcterms="http://purl.org/dc/terms/" xmlns:xsi="http://www.w3.org/2001/XMLSchema-instance" xsi:type="dcterms:W3CDTF">2026-10-09T06:49:47Z</dcterms:modified>
</cp:coreProperties>
</file>